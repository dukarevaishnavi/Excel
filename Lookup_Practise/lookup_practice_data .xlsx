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97542034-AEF9-49E3-AED7-B4CB2904A86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mployee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" l="1"/>
  <c r="N16" i="1"/>
  <c r="N13" i="1"/>
  <c r="N8" i="1"/>
  <c r="N4" i="1"/>
  <c r="M3" i="1" a="1"/>
  <c r="M3" i="1"/>
  <c r="M4" i="1" a="1"/>
  <c r="M4" i="1"/>
  <c r="M5" i="1" a="1"/>
  <c r="M5" i="1"/>
  <c r="M6" i="1" a="1"/>
  <c r="M6" i="1"/>
  <c r="M7" i="1" a="1"/>
  <c r="M7" i="1"/>
  <c r="M8" i="1" a="1"/>
  <c r="M8" i="1"/>
  <c r="M9" i="1" a="1"/>
  <c r="M9" i="1"/>
  <c r="M10" i="1" a="1"/>
  <c r="M10" i="1"/>
  <c r="M11" i="1" a="1"/>
  <c r="M11" i="1"/>
  <c r="M12" i="1" a="1"/>
  <c r="M12" i="1"/>
  <c r="M13" i="1" a="1"/>
  <c r="M13" i="1"/>
  <c r="M14" i="1" a="1"/>
  <c r="M14" i="1"/>
  <c r="M15" i="1" a="1"/>
  <c r="M15" i="1"/>
  <c r="M16" i="1" a="1"/>
  <c r="M16" i="1"/>
  <c r="M17" i="1" a="1"/>
  <c r="M17" i="1"/>
  <c r="M18" i="1" a="1"/>
  <c r="M18" i="1"/>
  <c r="M19" i="1" a="1"/>
  <c r="M19" i="1"/>
  <c r="M20" i="1" a="1"/>
  <c r="M20" i="1"/>
  <c r="M21" i="1" a="1"/>
  <c r="M21" i="1"/>
  <c r="M22" i="1" a="1"/>
  <c r="M22" i="1"/>
  <c r="M23" i="1" a="1"/>
  <c r="M23" i="1"/>
  <c r="M24" i="1" a="1"/>
  <c r="M24" i="1"/>
  <c r="M25" i="1" a="1"/>
  <c r="M25" i="1"/>
  <c r="M26" i="1" a="1"/>
  <c r="M26" i="1"/>
  <c r="M27" i="1" a="1"/>
  <c r="M27" i="1"/>
  <c r="M28" i="1" a="1"/>
  <c r="M28" i="1"/>
  <c r="M29" i="1" a="1"/>
  <c r="M29" i="1"/>
  <c r="M30" i="1" a="1"/>
  <c r="M30" i="1"/>
  <c r="M31" i="1" a="1"/>
  <c r="M31" i="1"/>
  <c r="M32" i="1" a="1"/>
  <c r="M32" i="1"/>
  <c r="M33" i="1" a="1"/>
  <c r="M33" i="1"/>
  <c r="M34" i="1" a="1"/>
  <c r="M34" i="1"/>
  <c r="M35" i="1" a="1"/>
  <c r="M35" i="1"/>
  <c r="M36" i="1" a="1"/>
  <c r="M36" i="1"/>
  <c r="M37" i="1" a="1"/>
  <c r="M37" i="1"/>
  <c r="M38" i="1" a="1"/>
  <c r="M38" i="1"/>
  <c r="M39" i="1" a="1"/>
  <c r="M39" i="1"/>
  <c r="M40" i="1" a="1"/>
  <c r="M40" i="1"/>
  <c r="M41" i="1" a="1"/>
  <c r="M41" i="1"/>
  <c r="M42" i="1" a="1"/>
  <c r="M42" i="1"/>
  <c r="M43" i="1" a="1"/>
  <c r="M43" i="1"/>
  <c r="M44" i="1" a="1"/>
  <c r="M44" i="1"/>
  <c r="M45" i="1" a="1"/>
  <c r="M45" i="1"/>
  <c r="M46" i="1" a="1"/>
  <c r="M46" i="1"/>
  <c r="M47" i="1" a="1"/>
  <c r="M47" i="1"/>
  <c r="M48" i="1" a="1"/>
  <c r="M48" i="1"/>
  <c r="M49" i="1" a="1"/>
  <c r="M49" i="1"/>
  <c r="M50" i="1" a="1"/>
  <c r="M50" i="1"/>
  <c r="M51" i="1" a="1"/>
  <c r="M51" i="1"/>
  <c r="M52" i="1" a="1"/>
  <c r="M52" i="1"/>
  <c r="M53" i="1" a="1"/>
  <c r="M53" i="1"/>
  <c r="M54" i="1" a="1"/>
  <c r="M54" i="1"/>
  <c r="M55" i="1" a="1"/>
  <c r="M55" i="1"/>
  <c r="M56" i="1" a="1"/>
  <c r="M56" i="1"/>
  <c r="M57" i="1" a="1"/>
  <c r="M57" i="1"/>
  <c r="M58" i="1" a="1"/>
  <c r="M58" i="1"/>
  <c r="M59" i="1" a="1"/>
  <c r="M59" i="1"/>
  <c r="M60" i="1" a="1"/>
  <c r="M60" i="1"/>
  <c r="M61" i="1" a="1"/>
  <c r="M61" i="1"/>
  <c r="M62" i="1" a="1"/>
  <c r="M62" i="1"/>
  <c r="M63" i="1" a="1"/>
  <c r="M63" i="1"/>
  <c r="M2" i="1" a="1"/>
  <c r="M2" i="1"/>
  <c r="J31" i="1"/>
  <c r="J27" i="1"/>
  <c r="J24" i="1"/>
  <c r="J21" i="1"/>
  <c r="J16" i="1"/>
  <c r="J14" i="1"/>
  <c r="J11" i="1"/>
  <c r="J8" i="1"/>
  <c r="J5" i="1"/>
  <c r="J2" i="1"/>
  <c r="I6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2" i="1"/>
  <c r="H30" i="1"/>
  <c r="H27" i="1"/>
  <c r="H24" i="1"/>
  <c r="H21" i="1"/>
  <c r="H18" i="1"/>
  <c r="H14" i="1"/>
  <c r="H11" i="1"/>
  <c r="H8" i="1"/>
  <c r="H5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<sst xmlns="http://schemas.openxmlformats.org/spreadsheetml/2006/main" count="344" uniqueCount="175">
  <si>
    <t>EmpID</t>
  </si>
  <si>
    <t>Name</t>
  </si>
  <si>
    <t>Department</t>
  </si>
  <si>
    <t>City</t>
  </si>
  <si>
    <t>Gender</t>
  </si>
  <si>
    <t>Age</t>
  </si>
  <si>
    <t>Salary</t>
  </si>
  <si>
    <r>
      <t xml:space="preserve">👉 Find the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of employee with EmpID = E105</t>
    </r>
  </si>
  <si>
    <t>If Salary &gt; 50000 → "High"</t>
  </si>
  <si>
    <r>
      <t xml:space="preserve">Count how many employees have </t>
    </r>
    <r>
      <rPr>
        <b/>
        <sz val="11"/>
        <color theme="1"/>
        <rFont val="Calibri"/>
        <family val="2"/>
        <scheme val="minor"/>
      </rPr>
      <t>Salary &gt; 60000</t>
    </r>
  </si>
  <si>
    <t>Give Grade based on Salary:</t>
  </si>
  <si>
    <t>E100</t>
  </si>
  <si>
    <t>Aarav Sharma</t>
  </si>
  <si>
    <t>HR</t>
  </si>
  <si>
    <t>Hyderabad</t>
  </si>
  <si>
    <t>Male</t>
  </si>
  <si>
    <t>70000 → A</t>
  </si>
  <si>
    <t>👉 Highest Salary → use</t>
  </si>
  <si>
    <t>E101</t>
  </si>
  <si>
    <t>Priya Mehta</t>
  </si>
  <si>
    <t>IT</t>
  </si>
  <si>
    <t>Female</t>
  </si>
  <si>
    <t>50000 → B</t>
  </si>
  <si>
    <t>MAX()</t>
  </si>
  <si>
    <t>E102</t>
  </si>
  <si>
    <t>Rohan Patel</t>
  </si>
  <si>
    <r>
      <t xml:space="preserve">👉 Find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employee E120</t>
    </r>
  </si>
  <si>
    <t>Count how many employees are from Pune</t>
  </si>
  <si>
    <t>30000 → C</t>
  </si>
  <si>
    <t>E103</t>
  </si>
  <si>
    <t>Sneha Gupta</t>
  </si>
  <si>
    <t>Finance</t>
  </si>
  <si>
    <t>Pune</t>
  </si>
  <si>
    <t>Else → D</t>
  </si>
  <si>
    <t>E104</t>
  </si>
  <si>
    <t>Karan Verma</t>
  </si>
  <si>
    <t>👉 Use:</t>
  </si>
  <si>
    <t>👉 Lowest Salary → use</t>
  </si>
  <si>
    <t>E105</t>
  </si>
  <si>
    <t>Ananya Singh</t>
  </si>
  <si>
    <t>Sales</t>
  </si>
  <si>
    <t>👉 Find Name using EmpID</t>
  </si>
  <si>
    <t>Count how many Females are there</t>
  </si>
  <si>
    <t>Nested IF OR IFS</t>
  </si>
  <si>
    <t>MIN()</t>
  </si>
  <si>
    <t>E106</t>
  </si>
  <si>
    <t>Rahul Nair</t>
  </si>
  <si>
    <t>E107</t>
  </si>
  <si>
    <t>Pooja Desai</t>
  </si>
  <si>
    <t>Marketing</t>
  </si>
  <si>
    <t>Delhi</t>
  </si>
  <si>
    <t>E108</t>
  </si>
  <si>
    <t>Vikram Joshi</t>
  </si>
  <si>
    <t>Mumbai</t>
  </si>
  <si>
    <t>👉 Find Salary using EmpID</t>
  </si>
  <si>
    <r>
      <t xml:space="preserve">Find total salary of employees from </t>
    </r>
    <r>
      <rPr>
        <b/>
        <sz val="11"/>
        <color theme="1"/>
        <rFont val="Calibri"/>
        <family val="2"/>
        <scheme val="minor"/>
      </rPr>
      <t>Mumbai</t>
    </r>
  </si>
  <si>
    <t>Count employees whose:</t>
  </si>
  <si>
    <t>E109</t>
  </si>
  <si>
    <t>Neha Kapoor</t>
  </si>
  <si>
    <t>👉 Salary &gt; 50000 AND City = Pune</t>
  </si>
  <si>
    <t>E110</t>
  </si>
  <si>
    <t>Aditya Kulkarni</t>
  </si>
  <si>
    <t>E111</t>
  </si>
  <si>
    <t>Isha Shah</t>
  </si>
  <si>
    <t>Find Salary of E110</t>
  </si>
  <si>
    <r>
      <t xml:space="preserve">Find average salary of </t>
    </r>
    <r>
      <rPr>
        <b/>
        <sz val="11"/>
        <color theme="1"/>
        <rFont val="Calibri"/>
        <family val="2"/>
        <scheme val="minor"/>
      </rPr>
      <t>IT department</t>
    </r>
  </si>
  <si>
    <t>E112</t>
  </si>
  <si>
    <t>Manish Yadav</t>
  </si>
  <si>
    <t>E113</t>
  </si>
  <si>
    <t>Kavya Iyer</t>
  </si>
  <si>
    <r>
      <t xml:space="preserve">Find employee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whose Salary is </t>
    </r>
    <r>
      <rPr>
        <b/>
        <sz val="11"/>
        <color theme="1"/>
        <rFont val="Calibri"/>
        <family val="2"/>
        <scheme val="minor"/>
      </rPr>
      <t>maximum</t>
    </r>
  </si>
  <si>
    <t>E114</t>
  </si>
  <si>
    <t>Siddharth Jain</t>
  </si>
  <si>
    <t>E115</t>
  </si>
  <si>
    <t>Nisha Reddy</t>
  </si>
  <si>
    <t>Find Department of E125</t>
  </si>
  <si>
    <t>E116</t>
  </si>
  <si>
    <t>Arjun Mishra</t>
  </si>
  <si>
    <r>
      <t xml:space="preserve">Find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using EmpID =</t>
    </r>
  </si>
  <si>
    <t>E117</t>
  </si>
  <si>
    <t>Meera Chawla</t>
  </si>
  <si>
    <t>E118</t>
  </si>
  <si>
    <t>Rajat Bansal</t>
  </si>
  <si>
    <t>Find Age using Name</t>
  </si>
  <si>
    <t>(VLOOKUP)</t>
  </si>
  <si>
    <t>E119</t>
  </si>
  <si>
    <t>Simran Kaur</t>
  </si>
  <si>
    <t>E120</t>
  </si>
  <si>
    <t>Deepak Sharma</t>
  </si>
  <si>
    <t>Bangalore</t>
  </si>
  <si>
    <t>E121</t>
  </si>
  <si>
    <t>Tanvi Agarwal</t>
  </si>
  <si>
    <t>Count how many employees are there in total</t>
  </si>
  <si>
    <r>
      <t xml:space="preserve">Find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using EmpID (XLOOKUP)</t>
    </r>
  </si>
  <si>
    <t>E122</t>
  </si>
  <si>
    <t>Harsh Vardhan</t>
  </si>
  <si>
    <t>E123</t>
  </si>
  <si>
    <t>Riya Malhotra</t>
  </si>
  <si>
    <t>E124</t>
  </si>
  <si>
    <t>Amit Tiwari</t>
  </si>
  <si>
    <r>
      <t xml:space="preserve">Count how many employees have </t>
    </r>
    <r>
      <rPr>
        <b/>
        <sz val="11"/>
        <color theme="1"/>
        <rFont val="Calibri"/>
        <family val="2"/>
        <scheme val="minor"/>
      </rPr>
      <t>Salary (numeric values)</t>
    </r>
  </si>
  <si>
    <r>
      <t xml:space="preserve">Find </t>
    </r>
    <r>
      <rPr>
        <b/>
        <sz val="11"/>
        <color theme="1"/>
        <rFont val="Calibri"/>
        <family val="2"/>
        <scheme val="minor"/>
      </rPr>
      <t>Salary using Name</t>
    </r>
  </si>
  <si>
    <t>E125</t>
  </si>
  <si>
    <t>Shreya Bose</t>
  </si>
  <si>
    <t>E126</t>
  </si>
  <si>
    <t>Varun Khanna</t>
  </si>
  <si>
    <t>E127</t>
  </si>
  <si>
    <t>Payal Jain</t>
  </si>
  <si>
    <r>
      <t xml:space="preserve">Count how many </t>
    </r>
    <r>
      <rPr>
        <b/>
        <sz val="11"/>
        <color theme="1"/>
        <rFont val="Calibri"/>
        <family val="2"/>
        <scheme val="minor"/>
      </rPr>
      <t>blank cells</t>
    </r>
    <r>
      <rPr>
        <sz val="11"/>
        <color theme="1"/>
        <rFont val="Calibri"/>
        <family val="2"/>
        <scheme val="minor"/>
      </rPr>
      <t xml:space="preserve"> are in Salary column</t>
    </r>
  </si>
  <si>
    <t>Try searching wrong ID like</t>
  </si>
  <si>
    <t>E128</t>
  </si>
  <si>
    <t>Saurabh Singh</t>
  </si>
  <si>
    <t>E999</t>
  </si>
  <si>
    <t>E129</t>
  </si>
  <si>
    <t>Divya Menon</t>
  </si>
  <si>
    <t>E130</t>
  </si>
  <si>
    <t>Ankit Saxena</t>
  </si>
  <si>
    <t>E131</t>
  </si>
  <si>
    <t>Nidhi Verma</t>
  </si>
  <si>
    <t>E132</t>
  </si>
  <si>
    <t>Yash Thakur</t>
  </si>
  <si>
    <t>E133</t>
  </si>
  <si>
    <t>Komal Gupta</t>
  </si>
  <si>
    <t>E134</t>
  </si>
  <si>
    <t>Abhishek Roy</t>
  </si>
  <si>
    <t>E135</t>
  </si>
  <si>
    <t>Swati Dubey</t>
  </si>
  <si>
    <t>E136</t>
  </si>
  <si>
    <t>Rakesh Sinha</t>
  </si>
  <si>
    <t>E137</t>
  </si>
  <si>
    <t>Neelam Pandey</t>
  </si>
  <si>
    <t>E138</t>
  </si>
  <si>
    <t>Gaurav Arora</t>
  </si>
  <si>
    <t>E139</t>
  </si>
  <si>
    <t>Tanya Bhatia</t>
  </si>
  <si>
    <t>E140</t>
  </si>
  <si>
    <t>Mohit Sehgal</t>
  </si>
  <si>
    <t>E141</t>
  </si>
  <si>
    <t>Ritu Saxena</t>
  </si>
  <si>
    <t>E142</t>
  </si>
  <si>
    <t>Akash Gupta</t>
  </si>
  <si>
    <t>E143</t>
  </si>
  <si>
    <t>Pallavi Joshi</t>
  </si>
  <si>
    <t>E144</t>
  </si>
  <si>
    <t>Naveen Kumar</t>
  </si>
  <si>
    <t>E145</t>
  </si>
  <si>
    <t>Shivani Das</t>
  </si>
  <si>
    <t>E146</t>
  </si>
  <si>
    <t>Prateek Jain</t>
  </si>
  <si>
    <t>E147</t>
  </si>
  <si>
    <t>Ayesha Khan</t>
  </si>
  <si>
    <t>E148</t>
  </si>
  <si>
    <t>Kunal Mehta</t>
  </si>
  <si>
    <t>E149</t>
  </si>
  <si>
    <t>Bhavna Patel</t>
  </si>
  <si>
    <t>E150</t>
  </si>
  <si>
    <t>Sameer Ali</t>
  </si>
  <si>
    <t>E151</t>
  </si>
  <si>
    <t>Juhi Sharma</t>
  </si>
  <si>
    <t>E152</t>
  </si>
  <si>
    <t>Nitin Verma</t>
  </si>
  <si>
    <t>E153</t>
  </si>
  <si>
    <t>Preeti Singh</t>
  </si>
  <si>
    <t>E154</t>
  </si>
  <si>
    <t>Lokesh Gupta</t>
  </si>
  <si>
    <t>E155</t>
  </si>
  <si>
    <t>Sonal Kapoor</t>
  </si>
  <si>
    <t>E156</t>
  </si>
  <si>
    <t>Tarun Yadav</t>
  </si>
  <si>
    <t>E157</t>
  </si>
  <si>
    <t>Richa Jain</t>
  </si>
  <si>
    <t>E158</t>
  </si>
  <si>
    <t>Hemant Joshi</t>
  </si>
  <si>
    <t>E159</t>
  </si>
  <si>
    <t>Alok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</si>
</sst>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"/>
  <sheetViews>
    <sheetView tabSelected="1" topLeftCell="H1" workbookViewId="0">
      <selection activeCell="N18" sqref="N18"/>
    </sheetView>
  </sheetViews>
  <sheetFormatPr defaultRowHeight="15"/>
  <cols>
    <col min="2" max="2" width="13" bestFit="1" customWidth="1"/>
    <col min="8" max="8" width="36.5703125" bestFit="1" customWidth="1"/>
    <col min="9" max="9" width="43.28515625" customWidth="1"/>
    <col min="10" max="10" width="36.5703125" bestFit="1" customWidth="1"/>
    <col min="12" max="12" width="25.28515625" bestFit="1" customWidth="1"/>
    <col min="13" max="14" width="36.5703125" bestFit="1" customWidth="1"/>
  </cols>
  <sheetData>
    <row r="1" spans="1:14" ht="32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2" t="s">
        <v>9</v>
      </c>
      <c r="L1" t="s">
        <v>10</v>
      </c>
    </row>
    <row r="2" spans="1:14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41</v>
      </c>
      <c r="G2">
        <v>57830</v>
      </c>
      <c r="H2" t="str">
        <f>VLOOKUP("E105",A2:G61,2,FALSE)</f>
        <v>Ananya Singh</v>
      </c>
      <c r="I2" t="str">
        <f>IF(G1&gt;50000,"HIGH","LOW")</f>
        <v>HIGH</v>
      </c>
      <c r="J2">
        <f>COUNTIF(G2:G61,"&gt;60000")</f>
        <v>27</v>
      </c>
      <c r="L2" t="s">
        <v>16</v>
      </c>
      <c r="M2" s="2" t="str" cm="1">
        <f t="array" ref="M2">_xlfn.IFS(G2&gt;70000,"A",G2&gt;50000,"B",G2&gt;30000,"C",TRUE,"D")</f>
        <v>B</v>
      </c>
      <c r="N2" t="s">
        <v>17</v>
      </c>
    </row>
    <row r="3" spans="1:14">
      <c r="A3" t="s">
        <v>18</v>
      </c>
      <c r="B3" t="s">
        <v>19</v>
      </c>
      <c r="C3" t="s">
        <v>20</v>
      </c>
      <c r="D3" t="s">
        <v>14</v>
      </c>
      <c r="E3" t="s">
        <v>21</v>
      </c>
      <c r="F3">
        <v>30</v>
      </c>
      <c r="G3">
        <v>53420</v>
      </c>
      <c r="I3" t="str">
        <f t="shared" ref="I3:J61" si="0">IF(G2&gt;50000,"HIGH","LOW")</f>
        <v>HIGH</v>
      </c>
      <c r="L3" t="s">
        <v>22</v>
      </c>
      <c r="M3" s="2" t="str" cm="1">
        <f t="array" ref="M3">_xlfn.IFS(G3&gt;70000,"A",G3&gt;50000,"B",G3&gt;30000,"C",TRUE,"D")</f>
        <v>B</v>
      </c>
      <c r="N3" t="s">
        <v>23</v>
      </c>
    </row>
    <row r="4" spans="1:14" ht="30.75">
      <c r="A4" t="s">
        <v>24</v>
      </c>
      <c r="B4" t="s">
        <v>25</v>
      </c>
      <c r="C4" t="s">
        <v>13</v>
      </c>
      <c r="D4" t="s">
        <v>14</v>
      </c>
      <c r="E4" t="s">
        <v>15</v>
      </c>
      <c r="F4">
        <v>37</v>
      </c>
      <c r="G4">
        <v>27866</v>
      </c>
      <c r="H4" t="s">
        <v>26</v>
      </c>
      <c r="I4" t="str">
        <f t="shared" si="0"/>
        <v>HIGH</v>
      </c>
      <c r="J4" s="2" t="s">
        <v>27</v>
      </c>
      <c r="L4" t="s">
        <v>28</v>
      </c>
      <c r="M4" s="2" t="str" cm="1">
        <f t="array" ref="M4">_xlfn.IFS(G4&gt;70000,"A",G4&gt;50000,"B",G4&gt;30000,"C",TRUE,"D")</f>
        <v>D</v>
      </c>
      <c r="N4">
        <f>MAX(G2:G61)</f>
        <v>89290</v>
      </c>
    </row>
    <row r="5" spans="1:14">
      <c r="A5" t="s">
        <v>29</v>
      </c>
      <c r="B5" t="s">
        <v>30</v>
      </c>
      <c r="C5" t="s">
        <v>31</v>
      </c>
      <c r="D5" t="s">
        <v>32</v>
      </c>
      <c r="E5" t="s">
        <v>21</v>
      </c>
      <c r="F5">
        <v>29</v>
      </c>
      <c r="G5">
        <v>69840</v>
      </c>
      <c r="H5">
        <f>VLOOKUP("E120",A2:G61,7,FALSE)</f>
        <v>85521</v>
      </c>
      <c r="I5" t="str">
        <f t="shared" si="0"/>
        <v>LOW</v>
      </c>
      <c r="J5">
        <f>COUNTIF(D2:D61,"PUNE")</f>
        <v>10</v>
      </c>
      <c r="L5" t="s">
        <v>33</v>
      </c>
      <c r="M5" s="2" t="str" cm="1">
        <f t="array" ref="M5">_xlfn.IFS(G5&gt;70000,"A",G5&gt;50000,"B",G5&gt;30000,"C",TRUE,"D")</f>
        <v>B</v>
      </c>
    </row>
    <row r="6" spans="1:14">
      <c r="A6" t="s">
        <v>34</v>
      </c>
      <c r="B6" t="s">
        <v>35</v>
      </c>
      <c r="C6" t="s">
        <v>13</v>
      </c>
      <c r="D6" t="s">
        <v>32</v>
      </c>
      <c r="E6" t="s">
        <v>15</v>
      </c>
      <c r="F6">
        <v>24</v>
      </c>
      <c r="G6">
        <v>80943</v>
      </c>
      <c r="I6" t="str">
        <f t="shared" si="0"/>
        <v>HIGH</v>
      </c>
      <c r="L6" t="s">
        <v>36</v>
      </c>
      <c r="M6" s="2" t="str" cm="1">
        <f t="array" ref="M6">_xlfn.IFS(G6&gt;70000,"A",G6&gt;50000,"B",G6&gt;30000,"C",TRUE,"D")</f>
        <v>A</v>
      </c>
      <c r="N6" t="s">
        <v>37</v>
      </c>
    </row>
    <row r="7" spans="1:14">
      <c r="A7" t="s">
        <v>38</v>
      </c>
      <c r="B7" t="s">
        <v>39</v>
      </c>
      <c r="C7" t="s">
        <v>40</v>
      </c>
      <c r="D7" t="s">
        <v>14</v>
      </c>
      <c r="E7" t="s">
        <v>21</v>
      </c>
      <c r="F7">
        <v>30</v>
      </c>
      <c r="G7">
        <v>33274</v>
      </c>
      <c r="H7" t="s">
        <v>41</v>
      </c>
      <c r="I7" t="str">
        <f t="shared" si="0"/>
        <v>HIGH</v>
      </c>
      <c r="J7" t="s">
        <v>42</v>
      </c>
      <c r="L7" t="s">
        <v>43</v>
      </c>
      <c r="M7" s="2" t="str" cm="1">
        <f t="array" ref="M7">_xlfn.IFS(G7&gt;70000,"A",G7&gt;50000,"B",G7&gt;30000,"C",TRUE,"D")</f>
        <v>C</v>
      </c>
      <c r="N7" t="s">
        <v>44</v>
      </c>
    </row>
    <row r="8" spans="1:14">
      <c r="A8" t="s">
        <v>45</v>
      </c>
      <c r="B8" t="s">
        <v>46</v>
      </c>
      <c r="C8" t="s">
        <v>20</v>
      </c>
      <c r="D8" t="s">
        <v>32</v>
      </c>
      <c r="E8" t="s">
        <v>21</v>
      </c>
      <c r="F8">
        <v>30</v>
      </c>
      <c r="G8">
        <v>46459</v>
      </c>
      <c r="H8" t="str">
        <f>_xlfn.XLOOKUP(A2,A2:A61,B2:B61)</f>
        <v>Aarav Sharma</v>
      </c>
      <c r="I8" t="str">
        <f t="shared" si="0"/>
        <v>LOW</v>
      </c>
      <c r="J8">
        <f>COUNTIF(E2:E61,"FEMALE")</f>
        <v>29</v>
      </c>
      <c r="M8" s="2" t="str" cm="1">
        <f t="array" ref="M8">_xlfn.IFS(G8&gt;70000,"A",G8&gt;50000,"B",G8&gt;30000,"C",TRUE,"D")</f>
        <v>C</v>
      </c>
      <c r="N8">
        <f>MIN(G2:G62)</f>
        <v>25466</v>
      </c>
    </row>
    <row r="9" spans="1:14">
      <c r="A9" t="s">
        <v>47</v>
      </c>
      <c r="B9" t="s">
        <v>48</v>
      </c>
      <c r="C9" t="s">
        <v>49</v>
      </c>
      <c r="D9" t="s">
        <v>50</v>
      </c>
      <c r="E9" t="s">
        <v>15</v>
      </c>
      <c r="F9">
        <v>23</v>
      </c>
      <c r="G9">
        <v>66044</v>
      </c>
      <c r="I9" t="str">
        <f t="shared" si="0"/>
        <v>LOW</v>
      </c>
      <c r="M9" s="2" t="str" cm="1">
        <f t="array" ref="M9">_xlfn.IFS(G9&gt;70000,"A",G9&gt;50000,"B",G9&gt;30000,"C",TRUE,"D")</f>
        <v>B</v>
      </c>
    </row>
    <row r="10" spans="1:14" ht="30.75">
      <c r="A10" t="s">
        <v>51</v>
      </c>
      <c r="B10" t="s">
        <v>52</v>
      </c>
      <c r="C10" t="s">
        <v>31</v>
      </c>
      <c r="D10" t="s">
        <v>53</v>
      </c>
      <c r="E10" t="s">
        <v>15</v>
      </c>
      <c r="F10">
        <v>26</v>
      </c>
      <c r="G10">
        <v>69984</v>
      </c>
      <c r="H10" t="s">
        <v>54</v>
      </c>
      <c r="I10" t="str">
        <f t="shared" si="0"/>
        <v>HIGH</v>
      </c>
      <c r="J10" s="2" t="s">
        <v>55</v>
      </c>
      <c r="M10" s="2" t="str" cm="1">
        <f t="array" ref="M10">_xlfn.IFS(G10&gt;70000,"A",G10&gt;50000,"B",G10&gt;30000,"C",TRUE,"D")</f>
        <v>B</v>
      </c>
      <c r="N10" t="s">
        <v>56</v>
      </c>
    </row>
    <row r="11" spans="1:14">
      <c r="A11" t="s">
        <v>57</v>
      </c>
      <c r="B11" t="s">
        <v>58</v>
      </c>
      <c r="C11" t="s">
        <v>20</v>
      </c>
      <c r="D11" t="s">
        <v>14</v>
      </c>
      <c r="E11" t="s">
        <v>21</v>
      </c>
      <c r="F11">
        <v>27</v>
      </c>
      <c r="G11">
        <v>25651</v>
      </c>
      <c r="H11">
        <f>_xlfn.XLOOKUP(A2,A2:A61,G2:G61)</f>
        <v>57830</v>
      </c>
      <c r="I11" t="str">
        <f t="shared" si="0"/>
        <v>HIGH</v>
      </c>
      <c r="J11">
        <f>SUMIF(D2:D61,"Mumbai",G2:G61)</f>
        <v>683453</v>
      </c>
      <c r="M11" s="2" t="str" cm="1">
        <f t="array" ref="M11">_xlfn.IFS(G11&gt;70000,"A",G11&gt;50000,"B",G11&gt;30000,"C",TRUE,"D")</f>
        <v>D</v>
      </c>
      <c r="N11" t="s">
        <v>59</v>
      </c>
    </row>
    <row r="12" spans="1:14">
      <c r="A12" t="s">
        <v>60</v>
      </c>
      <c r="B12" t="s">
        <v>61</v>
      </c>
      <c r="C12" t="s">
        <v>40</v>
      </c>
      <c r="D12" t="s">
        <v>14</v>
      </c>
      <c r="E12" t="s">
        <v>15</v>
      </c>
      <c r="F12">
        <v>25</v>
      </c>
      <c r="G12">
        <v>33847</v>
      </c>
      <c r="I12" t="str">
        <f t="shared" si="0"/>
        <v>LOW</v>
      </c>
      <c r="M12" s="2" t="str" cm="1">
        <f t="array" ref="M12">_xlfn.IFS(G12&gt;70000,"A",G12&gt;50000,"B",G12&gt;30000,"C",TRUE,"D")</f>
        <v>C</v>
      </c>
    </row>
    <row r="13" spans="1:14">
      <c r="A13" t="s">
        <v>62</v>
      </c>
      <c r="B13" t="s">
        <v>63</v>
      </c>
      <c r="C13" t="s">
        <v>13</v>
      </c>
      <c r="D13" t="s">
        <v>50</v>
      </c>
      <c r="E13" t="s">
        <v>21</v>
      </c>
      <c r="F13">
        <v>26</v>
      </c>
      <c r="G13">
        <v>65045</v>
      </c>
      <c r="H13" t="s">
        <v>64</v>
      </c>
      <c r="I13" t="str">
        <f t="shared" si="0"/>
        <v>LOW</v>
      </c>
      <c r="J13" t="s">
        <v>65</v>
      </c>
      <c r="M13" s="2" t="str" cm="1">
        <f t="array" ref="M13">_xlfn.IFS(G13&gt;70000,"A",G13&gt;50000,"B",G13&gt;30000,"C",TRUE,"D")</f>
        <v>B</v>
      </c>
      <c r="N13">
        <f>COUNTIFS(G2:G62,"&gt;50000",D2:D62,"PUNE")</f>
        <v>7</v>
      </c>
    </row>
    <row r="14" spans="1:14">
      <c r="A14" t="s">
        <v>66</v>
      </c>
      <c r="B14" t="s">
        <v>67</v>
      </c>
      <c r="C14" t="s">
        <v>49</v>
      </c>
      <c r="D14" t="s">
        <v>53</v>
      </c>
      <c r="E14" t="s">
        <v>15</v>
      </c>
      <c r="F14">
        <v>38</v>
      </c>
      <c r="G14">
        <v>79251</v>
      </c>
      <c r="H14">
        <f>VLOOKUP("E110",A2:G61,7,FALSE)</f>
        <v>33847</v>
      </c>
      <c r="I14" t="str">
        <f t="shared" si="0"/>
        <v>HIGH</v>
      </c>
      <c r="J14">
        <f>AVERAGEIF(C2:C61,"IT",G2:G61)</f>
        <v>47296.2</v>
      </c>
      <c r="M14" s="2" t="str" cm="1">
        <f t="array" ref="M14">_xlfn.IFS(G14&gt;70000,"A",G14&gt;50000,"B",G14&gt;30000,"C",TRUE,"D")</f>
        <v>A</v>
      </c>
    </row>
    <row r="15" spans="1:14" ht="30.75">
      <c r="A15" t="s">
        <v>68</v>
      </c>
      <c r="B15" t="s">
        <v>69</v>
      </c>
      <c r="C15" t="s">
        <v>49</v>
      </c>
      <c r="D15" t="s">
        <v>53</v>
      </c>
      <c r="E15" t="s">
        <v>21</v>
      </c>
      <c r="F15">
        <v>30</v>
      </c>
      <c r="G15">
        <v>46803</v>
      </c>
      <c r="I15" t="str">
        <f t="shared" si="0"/>
        <v>HIGH</v>
      </c>
      <c r="M15" s="2" t="str" cm="1">
        <f t="array" ref="M15">_xlfn.IFS(G15&gt;70000,"A",G15&gt;50000,"B",G15&gt;30000,"C",TRUE,"D")</f>
        <v>C</v>
      </c>
      <c r="N15" s="2" t="s">
        <v>70</v>
      </c>
    </row>
    <row r="16" spans="1:14">
      <c r="A16" t="s">
        <v>71</v>
      </c>
      <c r="B16" t="s">
        <v>72</v>
      </c>
      <c r="C16" t="s">
        <v>49</v>
      </c>
      <c r="D16" t="s">
        <v>14</v>
      </c>
      <c r="E16" t="s">
        <v>21</v>
      </c>
      <c r="F16">
        <v>40</v>
      </c>
      <c r="G16">
        <v>70055</v>
      </c>
      <c r="I16" t="str">
        <f t="shared" si="0"/>
        <v>LOW</v>
      </c>
      <c r="J16" s="2">
        <f>SUMIFS(G2:G61,C2:C61,"SALES",D2:D61,"PUNE")</f>
        <v>110143</v>
      </c>
      <c r="M16" s="2" t="str" cm="1">
        <f t="array" ref="M16">_xlfn.IFS(G16&gt;70000,"A",G16&gt;50000,"B",G16&gt;30000,"C",TRUE,"D")</f>
        <v>A</v>
      </c>
      <c r="N16">
        <f>MAX(G2:G61)</f>
        <v>89290</v>
      </c>
    </row>
    <row r="17" spans="1:14">
      <c r="A17" t="s">
        <v>73</v>
      </c>
      <c r="B17" t="s">
        <v>74</v>
      </c>
      <c r="C17" t="s">
        <v>13</v>
      </c>
      <c r="D17" t="s">
        <v>53</v>
      </c>
      <c r="E17" t="s">
        <v>21</v>
      </c>
      <c r="F17">
        <v>28</v>
      </c>
      <c r="G17">
        <v>45749</v>
      </c>
      <c r="H17" t="s">
        <v>75</v>
      </c>
      <c r="I17" t="str">
        <f t="shared" si="0"/>
        <v>HIGH</v>
      </c>
      <c r="M17" s="2" t="str" cm="1">
        <f t="array" ref="M17">_xlfn.IFS(G17&gt;70000,"A",G17&gt;50000,"B",G17&gt;30000,"C",TRUE,"D")</f>
        <v>C</v>
      </c>
      <c r="N17" t="str">
        <f>_xlfn.XLOOKUP(N16,G2:G61,B2:B61)</f>
        <v>Ayesha Khan</v>
      </c>
    </row>
    <row r="18" spans="1:14">
      <c r="A18" t="s">
        <v>76</v>
      </c>
      <c r="B18" t="s">
        <v>77</v>
      </c>
      <c r="C18" t="s">
        <v>49</v>
      </c>
      <c r="D18" t="s">
        <v>53</v>
      </c>
      <c r="E18" t="s">
        <v>21</v>
      </c>
      <c r="F18">
        <v>42</v>
      </c>
      <c r="G18">
        <v>63800</v>
      </c>
      <c r="H18" t="str">
        <f>VLOOKUP("E125",A2:G61,3,FALSE)</f>
        <v>HR</v>
      </c>
      <c r="I18" t="str">
        <f t="shared" si="0"/>
        <v>LOW</v>
      </c>
      <c r="J18" t="s">
        <v>78</v>
      </c>
      <c r="M18" s="2" t="str" cm="1">
        <f t="array" ref="M18">_xlfn.IFS(G18&gt;70000,"A",G18&gt;50000,"B",G18&gt;30000,"C",TRUE,"D")</f>
        <v>B</v>
      </c>
    </row>
    <row r="19" spans="1:14">
      <c r="A19" t="s">
        <v>79</v>
      </c>
      <c r="B19" t="s">
        <v>80</v>
      </c>
      <c r="C19" t="s">
        <v>20</v>
      </c>
      <c r="D19" t="s">
        <v>53</v>
      </c>
      <c r="E19" t="s">
        <v>15</v>
      </c>
      <c r="F19">
        <v>22</v>
      </c>
      <c r="G19">
        <v>33970</v>
      </c>
      <c r="I19" t="str">
        <f t="shared" si="0"/>
        <v>HIGH</v>
      </c>
      <c r="J19" t="s">
        <v>73</v>
      </c>
      <c r="M19" s="2" t="str" cm="1">
        <f t="array" ref="M19">_xlfn.IFS(G19&gt;70000,"A",G19&gt;50000,"B",G19&gt;30000,"C",TRUE,"D")</f>
        <v>C</v>
      </c>
    </row>
    <row r="20" spans="1:14">
      <c r="A20" t="s">
        <v>81</v>
      </c>
      <c r="B20" t="s">
        <v>82</v>
      </c>
      <c r="C20" t="s">
        <v>40</v>
      </c>
      <c r="D20" t="s">
        <v>14</v>
      </c>
      <c r="E20" t="s">
        <v>15</v>
      </c>
      <c r="F20">
        <v>33</v>
      </c>
      <c r="G20">
        <v>82423</v>
      </c>
      <c r="H20" t="s">
        <v>83</v>
      </c>
      <c r="I20" t="str">
        <f t="shared" si="0"/>
        <v>LOW</v>
      </c>
      <c r="J20" t="s">
        <v>84</v>
      </c>
      <c r="M20" s="2" t="str" cm="1">
        <f t="array" ref="M20">_xlfn.IFS(G20&gt;70000,"A",G20&gt;50000,"B",G20&gt;30000,"C",TRUE,"D")</f>
        <v>A</v>
      </c>
    </row>
    <row r="21" spans="1:14">
      <c r="A21" t="s">
        <v>85</v>
      </c>
      <c r="B21" t="s">
        <v>86</v>
      </c>
      <c r="C21" t="s">
        <v>40</v>
      </c>
      <c r="D21" t="s">
        <v>53</v>
      </c>
      <c r="E21" t="s">
        <v>15</v>
      </c>
      <c r="F21">
        <v>41</v>
      </c>
      <c r="G21">
        <v>27683</v>
      </c>
      <c r="H21">
        <f>_xlfn.XLOOKUP(B2,B2:B61,F2:F61)</f>
        <v>41</v>
      </c>
      <c r="I21" t="str">
        <f t="shared" si="0"/>
        <v>HIGH</v>
      </c>
      <c r="J21" t="str">
        <f>VLOOKUP("E115",A2:G61,3)</f>
        <v>HR</v>
      </c>
      <c r="M21" s="2" t="str" cm="1">
        <f t="array" ref="M21">_xlfn.IFS(G21&gt;70000,"A",G21&gt;50000,"B",G21&gt;30000,"C",TRUE,"D")</f>
        <v>D</v>
      </c>
    </row>
    <row r="22" spans="1:14">
      <c r="A22" t="s">
        <v>87</v>
      </c>
      <c r="B22" t="s">
        <v>88</v>
      </c>
      <c r="C22" t="s">
        <v>31</v>
      </c>
      <c r="D22" t="s">
        <v>89</v>
      </c>
      <c r="E22" t="s">
        <v>21</v>
      </c>
      <c r="F22">
        <v>40</v>
      </c>
      <c r="G22">
        <v>85521</v>
      </c>
      <c r="I22" t="str">
        <f t="shared" si="0"/>
        <v>LOW</v>
      </c>
      <c r="M22" s="2" t="str" cm="1">
        <f t="array" ref="M22">_xlfn.IFS(G22&gt;70000,"A",G22&gt;50000,"B",G22&gt;30000,"C",TRUE,"D")</f>
        <v>A</v>
      </c>
    </row>
    <row r="23" spans="1:14" ht="30.75">
      <c r="A23" t="s">
        <v>90</v>
      </c>
      <c r="B23" t="s">
        <v>91</v>
      </c>
      <c r="C23" t="s">
        <v>40</v>
      </c>
      <c r="D23" t="s">
        <v>53</v>
      </c>
      <c r="E23" t="s">
        <v>21</v>
      </c>
      <c r="F23">
        <v>24</v>
      </c>
      <c r="G23">
        <v>59040</v>
      </c>
      <c r="H23" s="2" t="s">
        <v>92</v>
      </c>
      <c r="I23" t="str">
        <f t="shared" si="0"/>
        <v>HIGH</v>
      </c>
      <c r="J23" t="s">
        <v>93</v>
      </c>
      <c r="M23" s="2" t="str" cm="1">
        <f t="array" ref="M23">_xlfn.IFS(G23&gt;70000,"A",G23&gt;50000,"B",G23&gt;30000,"C",TRUE,"D")</f>
        <v>B</v>
      </c>
    </row>
    <row r="24" spans="1:14">
      <c r="A24" t="s">
        <v>94</v>
      </c>
      <c r="B24" t="s">
        <v>95</v>
      </c>
      <c r="C24" t="s">
        <v>31</v>
      </c>
      <c r="D24" t="s">
        <v>14</v>
      </c>
      <c r="E24" t="s">
        <v>15</v>
      </c>
      <c r="F24">
        <v>27</v>
      </c>
      <c r="G24">
        <v>80304</v>
      </c>
      <c r="H24">
        <f>COUNTA(A2:A61)</f>
        <v>60</v>
      </c>
      <c r="I24" t="str">
        <f t="shared" si="0"/>
        <v>HIGH</v>
      </c>
      <c r="J24" t="str">
        <f>_xlfn.XLOOKUP(A2,A2:A61,D2:D61)</f>
        <v>Hyderabad</v>
      </c>
      <c r="M24" s="2" t="str" cm="1">
        <f t="array" ref="M24">_xlfn.IFS(G24&gt;70000,"A",G24&gt;50000,"B",G24&gt;30000,"C",TRUE,"D")</f>
        <v>A</v>
      </c>
    </row>
    <row r="25" spans="1:14">
      <c r="A25" t="s">
        <v>96</v>
      </c>
      <c r="B25" t="s">
        <v>97</v>
      </c>
      <c r="C25" t="s">
        <v>13</v>
      </c>
      <c r="D25" t="s">
        <v>14</v>
      </c>
      <c r="E25" t="s">
        <v>15</v>
      </c>
      <c r="F25">
        <v>45</v>
      </c>
      <c r="G25">
        <v>46478</v>
      </c>
      <c r="I25" t="str">
        <f t="shared" si="0"/>
        <v>HIGH</v>
      </c>
      <c r="M25" s="2" t="str" cm="1">
        <f t="array" ref="M25">_xlfn.IFS(G25&gt;70000,"A",G25&gt;50000,"B",G25&gt;30000,"C",TRUE,"D")</f>
        <v>C</v>
      </c>
    </row>
    <row r="26" spans="1:14" ht="30.75">
      <c r="A26" t="s">
        <v>98</v>
      </c>
      <c r="B26" t="s">
        <v>99</v>
      </c>
      <c r="C26" t="s">
        <v>40</v>
      </c>
      <c r="D26" t="s">
        <v>14</v>
      </c>
      <c r="E26" t="s">
        <v>21</v>
      </c>
      <c r="F26">
        <v>24</v>
      </c>
      <c r="G26">
        <v>41619</v>
      </c>
      <c r="H26" s="2" t="s">
        <v>100</v>
      </c>
      <c r="I26" t="str">
        <f t="shared" si="0"/>
        <v>LOW</v>
      </c>
      <c r="J26" t="s">
        <v>101</v>
      </c>
      <c r="M26" s="2" t="str" cm="1">
        <f t="array" ref="M26">_xlfn.IFS(G26&gt;70000,"A",G26&gt;50000,"B",G26&gt;30000,"C",TRUE,"D")</f>
        <v>C</v>
      </c>
    </row>
    <row r="27" spans="1:14">
      <c r="A27" t="s">
        <v>102</v>
      </c>
      <c r="B27" t="s">
        <v>103</v>
      </c>
      <c r="C27" t="s">
        <v>13</v>
      </c>
      <c r="D27" t="s">
        <v>89</v>
      </c>
      <c r="E27" t="s">
        <v>21</v>
      </c>
      <c r="F27">
        <v>29</v>
      </c>
      <c r="G27">
        <v>40934</v>
      </c>
      <c r="H27">
        <f>COUNT(G2:G61)</f>
        <v>60</v>
      </c>
      <c r="I27" t="str">
        <f t="shared" si="0"/>
        <v>LOW</v>
      </c>
      <c r="J27">
        <f>_xlfn.XLOOKUP(B2,B2:B61,G2:G61)</f>
        <v>57830</v>
      </c>
      <c r="M27" s="2" t="str" cm="1">
        <f t="array" ref="M27">_xlfn.IFS(G27&gt;70000,"A",G27&gt;50000,"B",G27&gt;30000,"C",TRUE,"D")</f>
        <v>C</v>
      </c>
    </row>
    <row r="28" spans="1:14">
      <c r="A28" t="s">
        <v>104</v>
      </c>
      <c r="B28" t="s">
        <v>105</v>
      </c>
      <c r="C28" t="s">
        <v>49</v>
      </c>
      <c r="D28" t="s">
        <v>14</v>
      </c>
      <c r="E28" t="s">
        <v>15</v>
      </c>
      <c r="F28">
        <v>33</v>
      </c>
      <c r="G28">
        <v>44863</v>
      </c>
      <c r="I28" t="str">
        <f t="shared" si="0"/>
        <v>LOW</v>
      </c>
      <c r="M28" s="2" t="str" cm="1">
        <f t="array" ref="M28">_xlfn.IFS(G28&gt;70000,"A",G28&gt;50000,"B",G28&gt;30000,"C",TRUE,"D")</f>
        <v>C</v>
      </c>
    </row>
    <row r="29" spans="1:14" ht="30.75">
      <c r="A29" t="s">
        <v>106</v>
      </c>
      <c r="B29" t="s">
        <v>107</v>
      </c>
      <c r="C29" t="s">
        <v>20</v>
      </c>
      <c r="D29" t="s">
        <v>89</v>
      </c>
      <c r="E29" t="s">
        <v>21</v>
      </c>
      <c r="F29">
        <v>40</v>
      </c>
      <c r="G29">
        <v>48904</v>
      </c>
      <c r="H29" s="2" t="s">
        <v>108</v>
      </c>
      <c r="I29" t="str">
        <f t="shared" si="0"/>
        <v>LOW</v>
      </c>
      <c r="J29" t="s">
        <v>109</v>
      </c>
      <c r="M29" s="2" t="str" cm="1">
        <f t="array" ref="M29">_xlfn.IFS(G29&gt;70000,"A",G29&gt;50000,"B",G29&gt;30000,"C",TRUE,"D")</f>
        <v>C</v>
      </c>
    </row>
    <row r="30" spans="1:14">
      <c r="A30" t="s">
        <v>110</v>
      </c>
      <c r="B30" t="s">
        <v>111</v>
      </c>
      <c r="C30" t="s">
        <v>31</v>
      </c>
      <c r="D30" t="s">
        <v>53</v>
      </c>
      <c r="E30" t="s">
        <v>15</v>
      </c>
      <c r="F30">
        <v>28</v>
      </c>
      <c r="G30">
        <v>64044</v>
      </c>
      <c r="H30">
        <f>COUNTBLANK(G2:G61)</f>
        <v>0</v>
      </c>
      <c r="I30" t="str">
        <f t="shared" si="0"/>
        <v>LOW</v>
      </c>
      <c r="J30" t="s">
        <v>112</v>
      </c>
      <c r="M30" s="2" t="str" cm="1">
        <f t="array" ref="M30">_xlfn.IFS(G30&gt;70000,"A",G30&gt;50000,"B",G30&gt;30000,"C",TRUE,"D")</f>
        <v>B</v>
      </c>
    </row>
    <row r="31" spans="1:14">
      <c r="A31" t="s">
        <v>113</v>
      </c>
      <c r="B31" t="s">
        <v>114</v>
      </c>
      <c r="C31" t="s">
        <v>13</v>
      </c>
      <c r="D31" t="s">
        <v>32</v>
      </c>
      <c r="E31" t="s">
        <v>21</v>
      </c>
      <c r="F31">
        <v>37</v>
      </c>
      <c r="G31">
        <v>30157</v>
      </c>
      <c r="I31" t="str">
        <f t="shared" si="0"/>
        <v>HIGH</v>
      </c>
      <c r="J31" t="str">
        <f>_xlfn.XLOOKUP("E9999", A2:A61, B2:B61, "NOT FOUND")</f>
        <v>NOT FOUND</v>
      </c>
      <c r="M31" s="2" t="str" cm="1">
        <f t="array" ref="M31">_xlfn.IFS(G31&gt;70000,"A",G31&gt;50000,"B",G31&gt;30000,"C",TRUE,"D")</f>
        <v>C</v>
      </c>
    </row>
    <row r="32" spans="1:14">
      <c r="A32" t="s">
        <v>115</v>
      </c>
      <c r="B32" t="s">
        <v>116</v>
      </c>
      <c r="C32" t="s">
        <v>13</v>
      </c>
      <c r="D32" t="s">
        <v>14</v>
      </c>
      <c r="E32" t="s">
        <v>15</v>
      </c>
      <c r="F32">
        <v>25</v>
      </c>
      <c r="G32">
        <v>50889</v>
      </c>
      <c r="I32" t="str">
        <f t="shared" si="0"/>
        <v>LOW</v>
      </c>
      <c r="M32" s="2" t="str" cm="1">
        <f t="array" ref="M32">_xlfn.IFS(G32&gt;70000,"A",G32&gt;50000,"B",G32&gt;30000,"C",TRUE,"D")</f>
        <v>B</v>
      </c>
    </row>
    <row r="33" spans="1:13">
      <c r="A33" t="s">
        <v>117</v>
      </c>
      <c r="B33" t="s">
        <v>118</v>
      </c>
      <c r="C33" t="s">
        <v>49</v>
      </c>
      <c r="D33" t="s">
        <v>50</v>
      </c>
      <c r="E33" t="s">
        <v>21</v>
      </c>
      <c r="F33">
        <v>36</v>
      </c>
      <c r="G33">
        <v>58710</v>
      </c>
      <c r="I33" t="str">
        <f t="shared" si="0"/>
        <v>HIGH</v>
      </c>
      <c r="M33" s="2" t="str" cm="1">
        <f t="array" ref="M33">_xlfn.IFS(G33&gt;70000,"A",G33&gt;50000,"B",G33&gt;30000,"C",TRUE,"D")</f>
        <v>B</v>
      </c>
    </row>
    <row r="34" spans="1:13">
      <c r="A34" t="s">
        <v>119</v>
      </c>
      <c r="B34" t="s">
        <v>120</v>
      </c>
      <c r="C34" t="s">
        <v>20</v>
      </c>
      <c r="D34" t="s">
        <v>32</v>
      </c>
      <c r="E34" t="s">
        <v>15</v>
      </c>
      <c r="F34">
        <v>23</v>
      </c>
      <c r="G34">
        <v>78899</v>
      </c>
      <c r="I34" t="str">
        <f t="shared" si="0"/>
        <v>HIGH</v>
      </c>
      <c r="M34" s="2" t="str" cm="1">
        <f t="array" ref="M34">_xlfn.IFS(G34&gt;70000,"A",G34&gt;50000,"B",G34&gt;30000,"C",TRUE,"D")</f>
        <v>A</v>
      </c>
    </row>
    <row r="35" spans="1:13">
      <c r="A35" t="s">
        <v>121</v>
      </c>
      <c r="B35" t="s">
        <v>122</v>
      </c>
      <c r="C35" t="s">
        <v>13</v>
      </c>
      <c r="D35" t="s">
        <v>14</v>
      </c>
      <c r="E35" t="s">
        <v>15</v>
      </c>
      <c r="F35">
        <v>28</v>
      </c>
      <c r="G35">
        <v>87499</v>
      </c>
      <c r="I35" t="str">
        <f t="shared" si="0"/>
        <v>HIGH</v>
      </c>
      <c r="M35" s="2" t="str" cm="1">
        <f t="array" ref="M35">_xlfn.IFS(G35&gt;70000,"A",G35&gt;50000,"B",G35&gt;30000,"C",TRUE,"D")</f>
        <v>A</v>
      </c>
    </row>
    <row r="36" spans="1:13">
      <c r="A36" t="s">
        <v>123</v>
      </c>
      <c r="B36" t="s">
        <v>124</v>
      </c>
      <c r="C36" t="s">
        <v>31</v>
      </c>
      <c r="D36" t="s">
        <v>14</v>
      </c>
      <c r="E36" t="s">
        <v>15</v>
      </c>
      <c r="F36">
        <v>40</v>
      </c>
      <c r="G36">
        <v>25933</v>
      </c>
      <c r="I36" t="str">
        <f t="shared" si="0"/>
        <v>HIGH</v>
      </c>
      <c r="M36" s="2" t="str" cm="1">
        <f t="array" ref="M36">_xlfn.IFS(G36&gt;70000,"A",G36&gt;50000,"B",G36&gt;30000,"C",TRUE,"D")</f>
        <v>D</v>
      </c>
    </row>
    <row r="37" spans="1:13">
      <c r="A37" t="s">
        <v>125</v>
      </c>
      <c r="B37" t="s">
        <v>126</v>
      </c>
      <c r="C37" t="s">
        <v>20</v>
      </c>
      <c r="D37" t="s">
        <v>53</v>
      </c>
      <c r="E37" t="s">
        <v>21</v>
      </c>
      <c r="F37">
        <v>30</v>
      </c>
      <c r="G37">
        <v>70645</v>
      </c>
      <c r="I37" t="str">
        <f t="shared" si="0"/>
        <v>LOW</v>
      </c>
      <c r="M37" s="2" t="str" cm="1">
        <f t="array" ref="M37">_xlfn.IFS(G37&gt;70000,"A",G37&gt;50000,"B",G37&gt;30000,"C",TRUE,"D")</f>
        <v>A</v>
      </c>
    </row>
    <row r="38" spans="1:13">
      <c r="A38" t="s">
        <v>127</v>
      </c>
      <c r="B38" t="s">
        <v>128</v>
      </c>
      <c r="C38" t="s">
        <v>31</v>
      </c>
      <c r="D38" t="s">
        <v>50</v>
      </c>
      <c r="E38" t="s">
        <v>15</v>
      </c>
      <c r="F38">
        <v>32</v>
      </c>
      <c r="G38">
        <v>42054</v>
      </c>
      <c r="I38" t="str">
        <f t="shared" si="0"/>
        <v>HIGH</v>
      </c>
      <c r="M38" s="2" t="str" cm="1">
        <f t="array" ref="M38">_xlfn.IFS(G38&gt;70000,"A",G38&gt;50000,"B",G38&gt;30000,"C",TRUE,"D")</f>
        <v>C</v>
      </c>
    </row>
    <row r="39" spans="1:13">
      <c r="A39" t="s">
        <v>129</v>
      </c>
      <c r="B39" t="s">
        <v>130</v>
      </c>
      <c r="C39" t="s">
        <v>20</v>
      </c>
      <c r="D39" t="s">
        <v>53</v>
      </c>
      <c r="E39" t="s">
        <v>15</v>
      </c>
      <c r="F39">
        <v>39</v>
      </c>
      <c r="G39">
        <v>30091</v>
      </c>
      <c r="I39" t="str">
        <f t="shared" si="0"/>
        <v>LOW</v>
      </c>
      <c r="M39" s="2" t="str" cm="1">
        <f t="array" ref="M39">_xlfn.IFS(G39&gt;70000,"A",G39&gt;50000,"B",G39&gt;30000,"C",TRUE,"D")</f>
        <v>C</v>
      </c>
    </row>
    <row r="40" spans="1:13">
      <c r="A40" t="s">
        <v>131</v>
      </c>
      <c r="B40" t="s">
        <v>132</v>
      </c>
      <c r="C40" t="s">
        <v>31</v>
      </c>
      <c r="D40" t="s">
        <v>50</v>
      </c>
      <c r="E40" t="s">
        <v>15</v>
      </c>
      <c r="F40">
        <v>33</v>
      </c>
      <c r="G40">
        <v>76417</v>
      </c>
      <c r="I40" t="str">
        <f t="shared" si="0"/>
        <v>LOW</v>
      </c>
      <c r="M40" s="2" t="str" cm="1">
        <f t="array" ref="M40">_xlfn.IFS(G40&gt;70000,"A",G40&gt;50000,"B",G40&gt;30000,"C",TRUE,"D")</f>
        <v>A</v>
      </c>
    </row>
    <row r="41" spans="1:13">
      <c r="A41" t="s">
        <v>133</v>
      </c>
      <c r="B41" t="s">
        <v>134</v>
      </c>
      <c r="C41" t="s">
        <v>20</v>
      </c>
      <c r="D41" t="s">
        <v>89</v>
      </c>
      <c r="E41" t="s">
        <v>15</v>
      </c>
      <c r="F41">
        <v>27</v>
      </c>
      <c r="G41">
        <v>33982</v>
      </c>
      <c r="I41" t="str">
        <f t="shared" si="0"/>
        <v>HIGH</v>
      </c>
      <c r="M41" s="2" t="str" cm="1">
        <f t="array" ref="M41">_xlfn.IFS(G41&gt;70000,"A",G41&gt;50000,"B",G41&gt;30000,"C",TRUE,"D")</f>
        <v>C</v>
      </c>
    </row>
    <row r="42" spans="1:13">
      <c r="A42" t="s">
        <v>135</v>
      </c>
      <c r="B42" t="s">
        <v>136</v>
      </c>
      <c r="C42" t="s">
        <v>49</v>
      </c>
      <c r="D42" t="s">
        <v>89</v>
      </c>
      <c r="E42" t="s">
        <v>15</v>
      </c>
      <c r="F42">
        <v>34</v>
      </c>
      <c r="G42">
        <v>72709</v>
      </c>
      <c r="I42" t="str">
        <f t="shared" si="0"/>
        <v>LOW</v>
      </c>
      <c r="M42" s="2" t="str" cm="1">
        <f t="array" ref="M42">_xlfn.IFS(G42&gt;70000,"A",G42&gt;50000,"B",G42&gt;30000,"C",TRUE,"D")</f>
        <v>A</v>
      </c>
    </row>
    <row r="43" spans="1:13">
      <c r="A43" t="s">
        <v>137</v>
      </c>
      <c r="B43" t="s">
        <v>138</v>
      </c>
      <c r="C43" t="s">
        <v>40</v>
      </c>
      <c r="D43" t="s">
        <v>50</v>
      </c>
      <c r="E43" t="s">
        <v>21</v>
      </c>
      <c r="F43">
        <v>41</v>
      </c>
      <c r="G43">
        <v>60118</v>
      </c>
      <c r="I43" t="str">
        <f t="shared" si="0"/>
        <v>HIGH</v>
      </c>
      <c r="M43" s="2" t="str" cm="1">
        <f t="array" ref="M43">_xlfn.IFS(G43&gt;70000,"A",G43&gt;50000,"B",G43&gt;30000,"C",TRUE,"D")</f>
        <v>B</v>
      </c>
    </row>
    <row r="44" spans="1:13">
      <c r="A44" t="s">
        <v>139</v>
      </c>
      <c r="B44" t="s">
        <v>140</v>
      </c>
      <c r="C44" t="s">
        <v>13</v>
      </c>
      <c r="D44" t="s">
        <v>32</v>
      </c>
      <c r="E44" t="s">
        <v>21</v>
      </c>
      <c r="F44">
        <v>43</v>
      </c>
      <c r="G44">
        <v>85916</v>
      </c>
      <c r="I44" t="str">
        <f t="shared" si="0"/>
        <v>HIGH</v>
      </c>
      <c r="M44" s="2" t="str" cm="1">
        <f t="array" ref="M44">_xlfn.IFS(G44&gt;70000,"A",G44&gt;50000,"B",G44&gt;30000,"C",TRUE,"D")</f>
        <v>A</v>
      </c>
    </row>
    <row r="45" spans="1:13">
      <c r="A45" t="s">
        <v>141</v>
      </c>
      <c r="B45" t="s">
        <v>142</v>
      </c>
      <c r="C45" t="s">
        <v>13</v>
      </c>
      <c r="D45" t="s">
        <v>14</v>
      </c>
      <c r="E45" t="s">
        <v>21</v>
      </c>
      <c r="F45">
        <v>38</v>
      </c>
      <c r="G45">
        <v>70744</v>
      </c>
      <c r="I45" t="str">
        <f t="shared" si="0"/>
        <v>HIGH</v>
      </c>
      <c r="M45" s="2" t="str" cm="1">
        <f t="array" ref="M45">_xlfn.IFS(G45&gt;70000,"A",G45&gt;50000,"B",G45&gt;30000,"C",TRUE,"D")</f>
        <v>A</v>
      </c>
    </row>
    <row r="46" spans="1:13">
      <c r="A46" t="s">
        <v>143</v>
      </c>
      <c r="B46" t="s">
        <v>144</v>
      </c>
      <c r="C46" t="s">
        <v>31</v>
      </c>
      <c r="D46" t="s">
        <v>89</v>
      </c>
      <c r="E46" t="s">
        <v>15</v>
      </c>
      <c r="F46">
        <v>22</v>
      </c>
      <c r="G46">
        <v>67746</v>
      </c>
      <c r="I46" t="str">
        <f t="shared" si="0"/>
        <v>HIGH</v>
      </c>
      <c r="M46" s="2" t="str" cm="1">
        <f t="array" ref="M46">_xlfn.IFS(G46&gt;70000,"A",G46&gt;50000,"B",G46&gt;30000,"C",TRUE,"D")</f>
        <v>B</v>
      </c>
    </row>
    <row r="47" spans="1:13">
      <c r="A47" t="s">
        <v>145</v>
      </c>
      <c r="B47" t="s">
        <v>146</v>
      </c>
      <c r="C47" t="s">
        <v>40</v>
      </c>
      <c r="D47" t="s">
        <v>14</v>
      </c>
      <c r="E47" t="s">
        <v>21</v>
      </c>
      <c r="F47">
        <v>41</v>
      </c>
      <c r="G47">
        <v>56093</v>
      </c>
      <c r="I47" t="str">
        <f t="shared" si="0"/>
        <v>HIGH</v>
      </c>
      <c r="M47" s="2" t="str" cm="1">
        <f t="array" ref="M47">_xlfn.IFS(G47&gt;70000,"A",G47&gt;50000,"B",G47&gt;30000,"C",TRUE,"D")</f>
        <v>B</v>
      </c>
    </row>
    <row r="48" spans="1:13">
      <c r="A48" t="s">
        <v>147</v>
      </c>
      <c r="B48" t="s">
        <v>148</v>
      </c>
      <c r="C48" t="s">
        <v>13</v>
      </c>
      <c r="D48" t="s">
        <v>89</v>
      </c>
      <c r="E48" t="s">
        <v>15</v>
      </c>
      <c r="F48">
        <v>36</v>
      </c>
      <c r="G48">
        <v>86008</v>
      </c>
      <c r="I48" t="str">
        <f t="shared" si="0"/>
        <v>HIGH</v>
      </c>
      <c r="M48" s="2" t="str" cm="1">
        <f t="array" ref="M48">_xlfn.IFS(G48&gt;70000,"A",G48&gt;50000,"B",G48&gt;30000,"C",TRUE,"D")</f>
        <v>A</v>
      </c>
    </row>
    <row r="49" spans="1:13">
      <c r="A49" t="s">
        <v>149</v>
      </c>
      <c r="B49" t="s">
        <v>150</v>
      </c>
      <c r="C49" t="s">
        <v>31</v>
      </c>
      <c r="D49" t="s">
        <v>32</v>
      </c>
      <c r="E49" t="s">
        <v>15</v>
      </c>
      <c r="F49">
        <v>37</v>
      </c>
      <c r="G49">
        <v>89290</v>
      </c>
      <c r="I49" t="str">
        <f t="shared" si="0"/>
        <v>HIGH</v>
      </c>
      <c r="M49" s="2" t="str" cm="1">
        <f t="array" ref="M49">_xlfn.IFS(G49&gt;70000,"A",G49&gt;50000,"B",G49&gt;30000,"C",TRUE,"D")</f>
        <v>A</v>
      </c>
    </row>
    <row r="50" spans="1:13">
      <c r="A50" t="s">
        <v>151</v>
      </c>
      <c r="B50" t="s">
        <v>152</v>
      </c>
      <c r="C50" t="s">
        <v>13</v>
      </c>
      <c r="D50" t="s">
        <v>89</v>
      </c>
      <c r="E50" t="s">
        <v>15</v>
      </c>
      <c r="F50">
        <v>42</v>
      </c>
      <c r="G50">
        <v>63233</v>
      </c>
      <c r="I50" t="str">
        <f t="shared" si="0"/>
        <v>HIGH</v>
      </c>
      <c r="M50" s="2" t="str" cm="1">
        <f t="array" ref="M50">_xlfn.IFS(G50&gt;70000,"A",G50&gt;50000,"B",G50&gt;30000,"C",TRUE,"D")</f>
        <v>B</v>
      </c>
    </row>
    <row r="51" spans="1:13">
      <c r="A51" t="s">
        <v>153</v>
      </c>
      <c r="B51" t="s">
        <v>154</v>
      </c>
      <c r="C51" t="s">
        <v>49</v>
      </c>
      <c r="D51" t="s">
        <v>14</v>
      </c>
      <c r="E51" t="s">
        <v>21</v>
      </c>
      <c r="F51">
        <v>36</v>
      </c>
      <c r="G51">
        <v>40165</v>
      </c>
      <c r="I51" t="str">
        <f t="shared" si="0"/>
        <v>HIGH</v>
      </c>
      <c r="M51" s="2" t="str" cm="1">
        <f t="array" ref="M51">_xlfn.IFS(G51&gt;70000,"A",G51&gt;50000,"B",G51&gt;30000,"C",TRUE,"D")</f>
        <v>C</v>
      </c>
    </row>
    <row r="52" spans="1:13">
      <c r="A52" t="s">
        <v>155</v>
      </c>
      <c r="B52" t="s">
        <v>156</v>
      </c>
      <c r="C52" t="s">
        <v>13</v>
      </c>
      <c r="D52" t="s">
        <v>50</v>
      </c>
      <c r="E52" t="s">
        <v>15</v>
      </c>
      <c r="F52">
        <v>41</v>
      </c>
      <c r="G52">
        <v>35085</v>
      </c>
      <c r="I52" t="str">
        <f t="shared" si="0"/>
        <v>LOW</v>
      </c>
      <c r="M52" s="2" t="str" cm="1">
        <f t="array" ref="M52">_xlfn.IFS(G52&gt;70000,"A",G52&gt;50000,"B",G52&gt;30000,"C",TRUE,"D")</f>
        <v>C</v>
      </c>
    </row>
    <row r="53" spans="1:13">
      <c r="A53" t="s">
        <v>157</v>
      </c>
      <c r="B53" t="s">
        <v>158</v>
      </c>
      <c r="C53" t="s">
        <v>20</v>
      </c>
      <c r="D53" t="s">
        <v>32</v>
      </c>
      <c r="E53" t="s">
        <v>21</v>
      </c>
      <c r="F53">
        <v>34</v>
      </c>
      <c r="G53">
        <v>50941</v>
      </c>
      <c r="I53" t="str">
        <f t="shared" si="0"/>
        <v>LOW</v>
      </c>
      <c r="M53" s="2" t="str" cm="1">
        <f t="array" ref="M53">_xlfn.IFS(G53&gt;70000,"A",G53&gt;50000,"B",G53&gt;30000,"C",TRUE,"D")</f>
        <v>B</v>
      </c>
    </row>
    <row r="54" spans="1:13">
      <c r="A54" t="s">
        <v>159</v>
      </c>
      <c r="B54" t="s">
        <v>160</v>
      </c>
      <c r="C54" t="s">
        <v>40</v>
      </c>
      <c r="D54" t="s">
        <v>14</v>
      </c>
      <c r="E54" t="s">
        <v>21</v>
      </c>
      <c r="F54">
        <v>37</v>
      </c>
      <c r="G54">
        <v>30196</v>
      </c>
      <c r="I54" t="str">
        <f t="shared" si="0"/>
        <v>HIGH</v>
      </c>
      <c r="M54" s="2" t="str" cm="1">
        <f t="array" ref="M54">_xlfn.IFS(G54&gt;70000,"A",G54&gt;50000,"B",G54&gt;30000,"C",TRUE,"D")</f>
        <v>C</v>
      </c>
    </row>
    <row r="55" spans="1:13">
      <c r="A55" t="s">
        <v>161</v>
      </c>
      <c r="B55" t="s">
        <v>162</v>
      </c>
      <c r="C55" t="s">
        <v>31</v>
      </c>
      <c r="D55" t="s">
        <v>14</v>
      </c>
      <c r="E55" t="s">
        <v>21</v>
      </c>
      <c r="F55">
        <v>23</v>
      </c>
      <c r="G55">
        <v>69338</v>
      </c>
      <c r="I55" t="str">
        <f t="shared" si="0"/>
        <v>LOW</v>
      </c>
      <c r="M55" s="2" t="str" cm="1">
        <f t="array" ref="M55">_xlfn.IFS(G55&gt;70000,"A",G55&gt;50000,"B",G55&gt;30000,"C",TRUE,"D")</f>
        <v>B</v>
      </c>
    </row>
    <row r="56" spans="1:13">
      <c r="A56" t="s">
        <v>163</v>
      </c>
      <c r="B56" t="s">
        <v>164</v>
      </c>
      <c r="C56" t="s">
        <v>40</v>
      </c>
      <c r="D56" t="s">
        <v>14</v>
      </c>
      <c r="E56" t="s">
        <v>15</v>
      </c>
      <c r="F56">
        <v>30</v>
      </c>
      <c r="G56">
        <v>36786</v>
      </c>
      <c r="I56" t="str">
        <f t="shared" si="0"/>
        <v>HIGH</v>
      </c>
      <c r="M56" s="2" t="str" cm="1">
        <f t="array" ref="M56">_xlfn.IFS(G56&gt;70000,"A",G56&gt;50000,"B",G56&gt;30000,"C",TRUE,"D")</f>
        <v>C</v>
      </c>
    </row>
    <row r="57" spans="1:13">
      <c r="A57" t="s">
        <v>165</v>
      </c>
      <c r="B57" t="s">
        <v>166</v>
      </c>
      <c r="C57" t="s">
        <v>49</v>
      </c>
      <c r="D57" t="s">
        <v>53</v>
      </c>
      <c r="E57" t="s">
        <v>21</v>
      </c>
      <c r="F57">
        <v>39</v>
      </c>
      <c r="G57">
        <v>59188</v>
      </c>
      <c r="I57" t="str">
        <f t="shared" si="0"/>
        <v>LOW</v>
      </c>
      <c r="M57" s="2" t="str" cm="1">
        <f t="array" ref="M57">_xlfn.IFS(G57&gt;70000,"A",G57&gt;50000,"B",G57&gt;30000,"C",TRUE,"D")</f>
        <v>B</v>
      </c>
    </row>
    <row r="58" spans="1:13">
      <c r="A58" t="s">
        <v>167</v>
      </c>
      <c r="B58" t="s">
        <v>168</v>
      </c>
      <c r="C58" t="s">
        <v>40</v>
      </c>
      <c r="D58" t="s">
        <v>32</v>
      </c>
      <c r="E58" t="s">
        <v>15</v>
      </c>
      <c r="F58">
        <v>44</v>
      </c>
      <c r="G58">
        <v>25466</v>
      </c>
      <c r="I58" t="str">
        <f t="shared" si="0"/>
        <v>HIGH</v>
      </c>
      <c r="M58" s="2" t="str" cm="1">
        <f t="array" ref="M58">_xlfn.IFS(G58&gt;70000,"A",G58&gt;50000,"B",G58&gt;30000,"C",TRUE,"D")</f>
        <v>D</v>
      </c>
    </row>
    <row r="59" spans="1:13">
      <c r="A59" t="s">
        <v>169</v>
      </c>
      <c r="B59" t="s">
        <v>170</v>
      </c>
      <c r="C59" t="s">
        <v>13</v>
      </c>
      <c r="D59" t="s">
        <v>53</v>
      </c>
      <c r="E59" t="s">
        <v>21</v>
      </c>
      <c r="F59">
        <v>29</v>
      </c>
      <c r="G59">
        <v>33205</v>
      </c>
      <c r="I59" t="str">
        <f t="shared" si="0"/>
        <v>LOW</v>
      </c>
      <c r="M59" s="2" t="str" cm="1">
        <f t="array" ref="M59">_xlfn.IFS(G59&gt;70000,"A",G59&gt;50000,"B",G59&gt;30000,"C",TRUE,"D")</f>
        <v>C</v>
      </c>
    </row>
    <row r="60" spans="1:13">
      <c r="A60" t="s">
        <v>171</v>
      </c>
      <c r="B60" t="s">
        <v>172</v>
      </c>
      <c r="C60" t="s">
        <v>13</v>
      </c>
      <c r="D60" t="s">
        <v>14</v>
      </c>
      <c r="E60" t="s">
        <v>21</v>
      </c>
      <c r="F60">
        <v>23</v>
      </c>
      <c r="G60">
        <v>81673</v>
      </c>
      <c r="I60" t="str">
        <f t="shared" si="0"/>
        <v>LOW</v>
      </c>
      <c r="M60" s="2" t="str" cm="1">
        <f t="array" ref="M60">_xlfn.IFS(G60&gt;70000,"A",G60&gt;50000,"B",G60&gt;30000,"C",TRUE,"D")</f>
        <v>A</v>
      </c>
    </row>
    <row r="61" spans="1:13">
      <c r="A61" t="s">
        <v>173</v>
      </c>
      <c r="B61" t="s">
        <v>174</v>
      </c>
      <c r="C61" t="s">
        <v>40</v>
      </c>
      <c r="D61" t="s">
        <v>32</v>
      </c>
      <c r="E61" t="s">
        <v>15</v>
      </c>
      <c r="F61">
        <v>28</v>
      </c>
      <c r="G61">
        <v>84677</v>
      </c>
      <c r="I61" t="str">
        <f t="shared" si="0"/>
        <v>HIGH</v>
      </c>
      <c r="M61" s="2" t="str" cm="1">
        <f t="array" ref="M61">_xlfn.IFS(G61&gt;70000,"A",G61&gt;50000,"B",G61&gt;30000,"C",TRUE,"D")</f>
        <v>A</v>
      </c>
    </row>
    <row r="62" spans="1:13">
      <c r="M62" s="2" t="str" cm="1">
        <f t="array" ref="M62">_xlfn.IFS(G62&gt;70000,"A",G62&gt;50000,"B",G62&gt;30000,"C",TRUE,"D")</f>
        <v>D</v>
      </c>
    </row>
    <row r="63" spans="1:13">
      <c r="M63" s="2" t="str" cm="1">
        <f t="array" ref="M63">_xlfn.IFS(G63&gt;70000,"A",G63&gt;50000,"B",G63&gt;30000,"C",TRUE,"D")</f>
        <v>D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2026-05-05T14:59:31Z</dcterms:created>
  <dcterms:modified xsi:type="dcterms:W3CDTF">2026-05-05T17:16:38Z</dcterms:modified>
  <cp:category/>
  <cp:contentStatus/>
</cp:coreProperties>
</file>